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PC\pipeline\pipe_rewrite\data\data_files\test\"/>
    </mc:Choice>
  </mc:AlternateContent>
  <xr:revisionPtr revIDLastSave="0" documentId="13_ncr:1_{CD1B999A-9731-4782-825D-9A3A8F9C4CDA}" xr6:coauthVersionLast="47" xr6:coauthVersionMax="47" xr10:uidLastSave="{00000000-0000-0000-0000-000000000000}"/>
  <bookViews>
    <workbookView xWindow="-98" yWindow="-98" windowWidth="28996" windowHeight="15675" xr2:uid="{F914F672-9CCD-4251-9DBD-9B23BA5898DB}"/>
  </bookViews>
  <sheets>
    <sheet name="Nodes" sheetId="1" r:id="rId1"/>
    <sheet name="Pipes" sheetId="2" r:id="rId2"/>
    <sheet name="Stations" sheetId="4" r:id="rId3"/>
    <sheet name="Arcs" sheetId="3" r:id="rId4"/>
    <sheet name="Sheet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C6" i="2"/>
  <c r="C2" i="2"/>
  <c r="D2" i="2"/>
</calcChain>
</file>

<file path=xl/sharedStrings.xml><?xml version="1.0" encoding="utf-8"?>
<sst xmlns="http://schemas.openxmlformats.org/spreadsheetml/2006/main" count="150" uniqueCount="51">
  <si>
    <t>source_1</t>
  </si>
  <si>
    <t>innode_1</t>
  </si>
  <si>
    <t>sink_1</t>
  </si>
  <si>
    <t>sink_2</t>
  </si>
  <si>
    <t>sink_3</t>
  </si>
  <si>
    <t>sink_4</t>
  </si>
  <si>
    <t>sink_5</t>
  </si>
  <si>
    <t>source</t>
  </si>
  <si>
    <t>pMin</t>
  </si>
  <si>
    <t>pMax</t>
  </si>
  <si>
    <t>height</t>
  </si>
  <si>
    <t>lat</t>
  </si>
  <si>
    <t>long</t>
  </si>
  <si>
    <t>pipe_1</t>
  </si>
  <si>
    <t>nodeIN</t>
  </si>
  <si>
    <t>nodeOUT</t>
  </si>
  <si>
    <t>pipe_2</t>
  </si>
  <si>
    <t>pipe_3</t>
  </si>
  <si>
    <t>compressorStation_1</t>
  </si>
  <si>
    <t>compressorStation_2</t>
  </si>
  <si>
    <t>compressorStation_3</t>
  </si>
  <si>
    <t>pInMax</t>
  </si>
  <si>
    <t>pInMin</t>
  </si>
  <si>
    <t>pOutMax</t>
  </si>
  <si>
    <t>max_power</t>
  </si>
  <si>
    <t>length</t>
  </si>
  <si>
    <t>A</t>
  </si>
  <si>
    <t>omega</t>
  </si>
  <si>
    <t>diameter</t>
  </si>
  <si>
    <t>roughness</t>
  </si>
  <si>
    <t>Nvol</t>
  </si>
  <si>
    <t>MMgas</t>
  </si>
  <si>
    <t>Tgas</t>
  </si>
  <si>
    <t>xCH4</t>
  </si>
  <si>
    <t>Z</t>
  </si>
  <si>
    <t>pipe_4</t>
  </si>
  <si>
    <t>pipe_5</t>
  </si>
  <si>
    <t>innode_2</t>
  </si>
  <si>
    <t>innode_3</t>
  </si>
  <si>
    <t>Gas</t>
  </si>
  <si>
    <t>Geometry</t>
  </si>
  <si>
    <t>Time</t>
  </si>
  <si>
    <t>T0, T0+dt/3600, T0+2dt/3600, …T+dt/3600</t>
  </si>
  <si>
    <t>Nodes</t>
  </si>
  <si>
    <t>Nodes_ArcIN/Nodes_ArcOUT</t>
  </si>
  <si>
    <t>Stations</t>
  </si>
  <si>
    <t>source_2</t>
  </si>
  <si>
    <t>source_3</t>
  </si>
  <si>
    <t>source_4</t>
  </si>
  <si>
    <t>source_5</t>
  </si>
  <si>
    <t>source_6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</si>
</sst>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7D31-8A71-4BE5-BF51-4B02EBD9F6F6}">
  <dimension ref="A1:G15"/>
  <sheetViews>
    <sheetView tabSelected="1" workbookViewId="0">
      <selection activeCell="I10" sqref="I10"/>
    </sheetView>
  </sheetViews>
  <sheetFormatPr defaultRowHeight="14.25" x14ac:dyDescent="0.45"/>
  <sheetData>
    <row r="1" spans="1:7" x14ac:dyDescent="0.45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45">
      <c r="A2" t="s">
        <v>1</v>
      </c>
      <c r="C2">
        <v>3101325</v>
      </c>
      <c r="D2">
        <v>8101325</v>
      </c>
      <c r="E2">
        <v>0</v>
      </c>
      <c r="F2">
        <v>48.885442716</v>
      </c>
      <c r="G2">
        <v>6.9707746782799997</v>
      </c>
    </row>
    <row r="3" spans="1:7" x14ac:dyDescent="0.45">
      <c r="A3" t="s">
        <v>37</v>
      </c>
      <c r="C3">
        <v>3101325</v>
      </c>
      <c r="D3">
        <v>8101325</v>
      </c>
      <c r="E3">
        <v>0</v>
      </c>
      <c r="F3">
        <v>48.4488696592</v>
      </c>
      <c r="G3">
        <v>7.1753586073599998</v>
      </c>
    </row>
    <row r="4" spans="1:7" x14ac:dyDescent="0.45">
      <c r="A4" t="s">
        <v>38</v>
      </c>
      <c r="C4">
        <v>3101325</v>
      </c>
      <c r="D4">
        <v>8101325</v>
      </c>
      <c r="E4">
        <v>0</v>
      </c>
      <c r="F4">
        <v>48.459701438000003</v>
      </c>
      <c r="G4">
        <v>6.73248116159</v>
      </c>
    </row>
    <row r="5" spans="1:7" x14ac:dyDescent="0.45">
      <c r="A5" t="s">
        <v>2</v>
      </c>
      <c r="C5">
        <v>4101325</v>
      </c>
      <c r="D5">
        <v>8101325</v>
      </c>
      <c r="E5">
        <v>0</v>
      </c>
      <c r="F5">
        <v>47.684915786300003</v>
      </c>
      <c r="G5">
        <v>7.3343218248599999</v>
      </c>
    </row>
    <row r="6" spans="1:7" x14ac:dyDescent="0.45">
      <c r="A6" t="s">
        <v>3</v>
      </c>
      <c r="C6">
        <v>4101325</v>
      </c>
      <c r="D6">
        <v>8101325</v>
      </c>
      <c r="E6">
        <v>0</v>
      </c>
      <c r="F6">
        <v>47.623252605300003</v>
      </c>
      <c r="G6">
        <v>7.53102691462</v>
      </c>
    </row>
    <row r="7" spans="1:7" x14ac:dyDescent="0.45">
      <c r="A7" t="s">
        <v>4</v>
      </c>
      <c r="C7">
        <v>4101325</v>
      </c>
      <c r="D7">
        <v>8101325</v>
      </c>
      <c r="E7">
        <v>0</v>
      </c>
      <c r="F7">
        <v>47.488271935999997</v>
      </c>
      <c r="G7">
        <v>6.6466959069599998</v>
      </c>
    </row>
    <row r="8" spans="1:7" x14ac:dyDescent="0.45">
      <c r="A8" t="s">
        <v>5</v>
      </c>
      <c r="C8">
        <v>4101325</v>
      </c>
      <c r="D8">
        <v>8101325</v>
      </c>
      <c r="E8">
        <v>0</v>
      </c>
      <c r="F8">
        <v>47.388271936000002</v>
      </c>
      <c r="G8">
        <v>6.73248116159</v>
      </c>
    </row>
    <row r="9" spans="1:7" x14ac:dyDescent="0.45">
      <c r="A9" t="s">
        <v>6</v>
      </c>
      <c r="C9">
        <v>5101325</v>
      </c>
      <c r="D9">
        <v>8101325</v>
      </c>
      <c r="E9">
        <v>0</v>
      </c>
      <c r="F9">
        <v>47.288271936000001</v>
      </c>
      <c r="G9">
        <v>6.73248116159</v>
      </c>
    </row>
    <row r="10" spans="1:7" x14ac:dyDescent="0.45">
      <c r="A10" t="s">
        <v>0</v>
      </c>
      <c r="B10" t="s">
        <v>0</v>
      </c>
      <c r="C10">
        <v>2101325</v>
      </c>
      <c r="D10">
        <v>8101325</v>
      </c>
      <c r="E10">
        <v>0</v>
      </c>
      <c r="F10">
        <v>48.963607098700002</v>
      </c>
      <c r="G10">
        <v>6.8375660756499999</v>
      </c>
    </row>
    <row r="11" spans="1:7" x14ac:dyDescent="0.45">
      <c r="A11" t="s">
        <v>46</v>
      </c>
      <c r="B11" t="s">
        <v>46</v>
      </c>
      <c r="C11">
        <v>2101325</v>
      </c>
      <c r="D11">
        <v>8101325</v>
      </c>
      <c r="E11">
        <v>0</v>
      </c>
      <c r="F11">
        <v>48.963607098700002</v>
      </c>
      <c r="G11">
        <v>6.8375660756499999</v>
      </c>
    </row>
    <row r="12" spans="1:7" x14ac:dyDescent="0.45">
      <c r="A12" t="s">
        <v>47</v>
      </c>
      <c r="B12" t="s">
        <v>47</v>
      </c>
      <c r="C12">
        <v>2101325</v>
      </c>
      <c r="D12">
        <v>8101325</v>
      </c>
      <c r="E12">
        <v>0</v>
      </c>
      <c r="F12">
        <v>48.963607098700002</v>
      </c>
      <c r="G12">
        <v>6.8375660756499999</v>
      </c>
    </row>
    <row r="13" spans="1:7" x14ac:dyDescent="0.45">
      <c r="A13" t="s">
        <v>48</v>
      </c>
      <c r="B13" t="s">
        <v>48</v>
      </c>
      <c r="C13">
        <v>2101325</v>
      </c>
      <c r="D13">
        <v>8101325</v>
      </c>
      <c r="E13">
        <v>0</v>
      </c>
      <c r="F13">
        <v>48.963607098700002</v>
      </c>
      <c r="G13">
        <v>6.8375660756499999</v>
      </c>
    </row>
    <row r="14" spans="1:7" x14ac:dyDescent="0.45">
      <c r="A14" t="s">
        <v>49</v>
      </c>
      <c r="B14" t="s">
        <v>49</v>
      </c>
      <c r="C14">
        <v>2101325</v>
      </c>
      <c r="D14">
        <v>8101325</v>
      </c>
      <c r="E14">
        <v>0</v>
      </c>
      <c r="F14">
        <v>48.963607098700002</v>
      </c>
      <c r="G14">
        <v>6.8375660756499999</v>
      </c>
    </row>
    <row r="15" spans="1:7" x14ac:dyDescent="0.45">
      <c r="A15" t="s">
        <v>50</v>
      </c>
      <c r="B15" t="s">
        <v>50</v>
      </c>
      <c r="C15">
        <v>2101325</v>
      </c>
      <c r="D15">
        <v>8101325</v>
      </c>
      <c r="E15">
        <v>0</v>
      </c>
      <c r="F15">
        <v>48.963607098700002</v>
      </c>
      <c r="G15">
        <v>6.8375660756499999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F40A-4953-4ABC-9FC8-FDC5AA424282}">
  <dimension ref="A1:K6"/>
  <sheetViews>
    <sheetView workbookViewId="0">
      <selection activeCell="G11" sqref="G11"/>
    </sheetView>
  </sheetViews>
  <sheetFormatPr defaultRowHeight="14.25" x14ac:dyDescent="0.45"/>
  <sheetData>
    <row r="1" spans="1:11" x14ac:dyDescent="0.45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</row>
    <row r="2" spans="1:11" x14ac:dyDescent="0.45">
      <c r="A2" t="s">
        <v>13</v>
      </c>
      <c r="B2">
        <v>65057.174270000003</v>
      </c>
      <c r="C2">
        <f xml:space="preserve"> 3.141*E2^2/4</f>
        <v>3.141</v>
      </c>
      <c r="D2">
        <f>3.141592654*2</f>
        <v>6.2831853080000002</v>
      </c>
      <c r="E2">
        <v>2</v>
      </c>
      <c r="F2">
        <v>5.0000000000000002E-5</v>
      </c>
      <c r="G2">
        <v>4</v>
      </c>
      <c r="H2">
        <v>18.567399999999999</v>
      </c>
      <c r="I2">
        <v>273.14999999999998</v>
      </c>
      <c r="J2">
        <v>0.9</v>
      </c>
      <c r="K2">
        <v>0.86</v>
      </c>
    </row>
    <row r="3" spans="1:11" x14ac:dyDescent="0.45">
      <c r="A3" t="s">
        <v>16</v>
      </c>
      <c r="B3">
        <v>32449.372050000002</v>
      </c>
      <c r="C3">
        <v>0.78539816299999998</v>
      </c>
      <c r="D3">
        <v>3.1415926540000001</v>
      </c>
      <c r="E3">
        <v>1</v>
      </c>
      <c r="F3">
        <v>5.0000000000000002E-5</v>
      </c>
      <c r="G3">
        <v>4</v>
      </c>
      <c r="H3">
        <v>18.567399999999999</v>
      </c>
      <c r="I3">
        <v>273.14999999999998</v>
      </c>
      <c r="J3">
        <v>0.9</v>
      </c>
      <c r="K3">
        <v>0.86</v>
      </c>
    </row>
    <row r="4" spans="1:11" x14ac:dyDescent="0.45">
      <c r="A4" t="s">
        <v>17</v>
      </c>
      <c r="B4">
        <v>13071.085230000001</v>
      </c>
      <c r="C4">
        <v>0.78539816299999998</v>
      </c>
      <c r="D4">
        <v>3.1415926540000001</v>
      </c>
      <c r="E4">
        <v>1</v>
      </c>
      <c r="F4">
        <v>5.0000000000000002E-5</v>
      </c>
      <c r="G4">
        <v>4</v>
      </c>
      <c r="H4">
        <v>18.567399999999999</v>
      </c>
      <c r="I4">
        <v>273.14999999999998</v>
      </c>
      <c r="J4">
        <v>0.9</v>
      </c>
      <c r="K4">
        <v>0.86</v>
      </c>
    </row>
    <row r="5" spans="1:11" x14ac:dyDescent="0.45">
      <c r="A5" t="s">
        <v>35</v>
      </c>
      <c r="B5">
        <v>65057.174270000003</v>
      </c>
      <c r="C5">
        <v>0.78539816299999998</v>
      </c>
      <c r="D5">
        <v>3.1415926540000001</v>
      </c>
      <c r="E5">
        <v>1</v>
      </c>
      <c r="F5">
        <v>5.0000000000000002E-5</v>
      </c>
      <c r="G5">
        <v>4</v>
      </c>
      <c r="H5">
        <v>18.567399999999999</v>
      </c>
      <c r="I5">
        <v>273.14999999999998</v>
      </c>
      <c r="J5">
        <v>0.9</v>
      </c>
      <c r="K5">
        <v>0.86</v>
      </c>
    </row>
    <row r="6" spans="1:11" x14ac:dyDescent="0.45">
      <c r="A6" t="s">
        <v>36</v>
      </c>
      <c r="B6">
        <v>76893.550759999998</v>
      </c>
      <c r="C6">
        <f xml:space="preserve"> 3.141*E6^2/4</f>
        <v>3.141</v>
      </c>
      <c r="D6">
        <f>3.141592654*2</f>
        <v>6.2831853080000002</v>
      </c>
      <c r="E6">
        <v>2</v>
      </c>
      <c r="F6">
        <v>5.0000000000000002E-5</v>
      </c>
      <c r="G6">
        <v>4</v>
      </c>
      <c r="H6">
        <v>18.567399999999999</v>
      </c>
      <c r="I6">
        <v>273.14999999999998</v>
      </c>
      <c r="J6">
        <v>0.9</v>
      </c>
      <c r="K6">
        <v>0.86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236F-F29A-41E4-9555-DA5DBADD8711}">
  <dimension ref="A1:E4"/>
  <sheetViews>
    <sheetView workbookViewId="0">
      <selection sqref="A1:E4"/>
    </sheetView>
  </sheetViews>
  <sheetFormatPr defaultRowHeight="14.25" x14ac:dyDescent="0.45"/>
  <sheetData>
    <row r="1" spans="1:5" x14ac:dyDescent="0.45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45">
      <c r="A2" t="s">
        <v>18</v>
      </c>
      <c r="C2">
        <v>3101325</v>
      </c>
      <c r="D2">
        <v>7101325</v>
      </c>
      <c r="E2">
        <v>2424387224.3367658</v>
      </c>
    </row>
    <row r="3" spans="1:5" x14ac:dyDescent="0.45">
      <c r="A3" t="s">
        <v>19</v>
      </c>
      <c r="C3">
        <v>3101325</v>
      </c>
      <c r="D3">
        <v>7101325</v>
      </c>
      <c r="E3">
        <v>2424387224.3367658</v>
      </c>
    </row>
    <row r="4" spans="1:5" x14ac:dyDescent="0.45">
      <c r="A4" t="s">
        <v>20</v>
      </c>
      <c r="C4">
        <v>3101325</v>
      </c>
      <c r="D4">
        <v>7101325</v>
      </c>
      <c r="E4">
        <v>2424387224.3367658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B6E3-D064-4D3C-AB39-9FC88564000F}">
  <dimension ref="A1:C9"/>
  <sheetViews>
    <sheetView workbookViewId="0">
      <selection activeCell="N14" sqref="N14"/>
    </sheetView>
  </sheetViews>
  <sheetFormatPr defaultRowHeight="14.25" x14ac:dyDescent="0.45"/>
  <sheetData>
    <row r="1" spans="1:3" x14ac:dyDescent="0.45">
      <c r="A1" s="1"/>
      <c r="B1" s="1" t="s">
        <v>14</v>
      </c>
      <c r="C1" s="1" t="s">
        <v>15</v>
      </c>
    </row>
    <row r="2" spans="1:3" x14ac:dyDescent="0.45">
      <c r="A2" t="s">
        <v>18</v>
      </c>
      <c r="B2" t="s">
        <v>0</v>
      </c>
      <c r="C2" t="s">
        <v>1</v>
      </c>
    </row>
    <row r="3" spans="1:3" x14ac:dyDescent="0.45">
      <c r="A3" t="s">
        <v>19</v>
      </c>
      <c r="B3" t="s">
        <v>1</v>
      </c>
      <c r="C3" t="s">
        <v>37</v>
      </c>
    </row>
    <row r="4" spans="1:3" x14ac:dyDescent="0.45">
      <c r="A4" t="s">
        <v>20</v>
      </c>
      <c r="B4" t="s">
        <v>1</v>
      </c>
      <c r="C4" t="s">
        <v>38</v>
      </c>
    </row>
    <row r="5" spans="1:3" x14ac:dyDescent="0.45">
      <c r="A5" t="s">
        <v>13</v>
      </c>
      <c r="B5" t="s">
        <v>37</v>
      </c>
      <c r="C5" t="s">
        <v>2</v>
      </c>
    </row>
    <row r="6" spans="1:3" x14ac:dyDescent="0.45">
      <c r="A6" t="s">
        <v>16</v>
      </c>
      <c r="B6" t="s">
        <v>2</v>
      </c>
      <c r="C6" t="s">
        <v>3</v>
      </c>
    </row>
    <row r="7" spans="1:3" x14ac:dyDescent="0.45">
      <c r="A7" t="s">
        <v>17</v>
      </c>
      <c r="B7" t="s">
        <v>2</v>
      </c>
      <c r="C7" t="s">
        <v>4</v>
      </c>
    </row>
    <row r="8" spans="1:3" x14ac:dyDescent="0.45">
      <c r="A8" t="s">
        <v>35</v>
      </c>
      <c r="B8" t="s">
        <v>38</v>
      </c>
      <c r="C8" t="s">
        <v>5</v>
      </c>
    </row>
    <row r="9" spans="1:3" x14ac:dyDescent="0.45">
      <c r="A9" t="s">
        <v>36</v>
      </c>
      <c r="B9" t="s">
        <v>5</v>
      </c>
      <c r="C9" t="s">
        <v>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3394-D117-4A64-AF4C-3468672FF5C5}">
  <dimension ref="B4:X36"/>
  <sheetViews>
    <sheetView workbookViewId="0">
      <selection activeCell="N11" sqref="N11:R15"/>
    </sheetView>
  </sheetViews>
  <sheetFormatPr defaultRowHeight="14.25" x14ac:dyDescent="0.45"/>
  <sheetData>
    <row r="4" spans="2:20" x14ac:dyDescent="0.45">
      <c r="B4" s="3" t="s">
        <v>44</v>
      </c>
      <c r="C4" s="3"/>
      <c r="D4" s="3"/>
    </row>
    <row r="5" spans="2:20" x14ac:dyDescent="0.45">
      <c r="B5" s="1"/>
      <c r="C5" s="1" t="s">
        <v>14</v>
      </c>
      <c r="D5" s="1" t="s">
        <v>15</v>
      </c>
      <c r="T5" t="s">
        <v>41</v>
      </c>
    </row>
    <row r="6" spans="2:20" x14ac:dyDescent="0.45">
      <c r="B6" t="s">
        <v>18</v>
      </c>
      <c r="C6" t="s">
        <v>0</v>
      </c>
      <c r="D6" t="s">
        <v>1</v>
      </c>
      <c r="T6" t="s">
        <v>42</v>
      </c>
    </row>
    <row r="7" spans="2:20" x14ac:dyDescent="0.45">
      <c r="B7" t="s">
        <v>19</v>
      </c>
      <c r="C7" t="s">
        <v>1</v>
      </c>
      <c r="D7" t="s">
        <v>37</v>
      </c>
    </row>
    <row r="8" spans="2:20" x14ac:dyDescent="0.45">
      <c r="B8" t="s">
        <v>20</v>
      </c>
      <c r="C8" t="s">
        <v>1</v>
      </c>
      <c r="D8" t="s">
        <v>38</v>
      </c>
    </row>
    <row r="9" spans="2:20" x14ac:dyDescent="0.45">
      <c r="B9" t="s">
        <v>13</v>
      </c>
      <c r="C9" t="s">
        <v>37</v>
      </c>
      <c r="D9" t="s">
        <v>2</v>
      </c>
    </row>
    <row r="10" spans="2:20" x14ac:dyDescent="0.45">
      <c r="B10" t="s">
        <v>16</v>
      </c>
      <c r="C10" t="s">
        <v>2</v>
      </c>
      <c r="D10" t="s">
        <v>3</v>
      </c>
    </row>
    <row r="11" spans="2:20" x14ac:dyDescent="0.45">
      <c r="B11" t="s">
        <v>17</v>
      </c>
      <c r="C11" t="s">
        <v>2</v>
      </c>
      <c r="D11" t="s">
        <v>4</v>
      </c>
      <c r="N11" s="2" t="s">
        <v>45</v>
      </c>
      <c r="O11" s="2"/>
      <c r="P11" s="2"/>
      <c r="Q11" s="2"/>
      <c r="R11" s="2"/>
    </row>
    <row r="12" spans="2:20" x14ac:dyDescent="0.45">
      <c r="B12" t="s">
        <v>35</v>
      </c>
      <c r="C12" t="s">
        <v>38</v>
      </c>
      <c r="D12" t="s">
        <v>5</v>
      </c>
      <c r="O12" s="1" t="s">
        <v>21</v>
      </c>
      <c r="P12" s="1" t="s">
        <v>22</v>
      </c>
      <c r="Q12" s="1" t="s">
        <v>23</v>
      </c>
      <c r="R12" s="1" t="s">
        <v>24</v>
      </c>
    </row>
    <row r="13" spans="2:20" x14ac:dyDescent="0.45">
      <c r="B13" t="s">
        <v>36</v>
      </c>
      <c r="C13" t="s">
        <v>5</v>
      </c>
      <c r="D13" t="s">
        <v>6</v>
      </c>
      <c r="N13" t="s">
        <v>18</v>
      </c>
      <c r="P13">
        <v>3101325</v>
      </c>
      <c r="Q13">
        <v>7101325</v>
      </c>
      <c r="R13">
        <v>2424387224.3367658</v>
      </c>
    </row>
    <row r="14" spans="2:20" x14ac:dyDescent="0.45">
      <c r="N14" t="s">
        <v>19</v>
      </c>
      <c r="P14">
        <v>3101325</v>
      </c>
      <c r="Q14">
        <v>7101325</v>
      </c>
      <c r="R14">
        <v>2424387224.3367658</v>
      </c>
    </row>
    <row r="15" spans="2:20" x14ac:dyDescent="0.45">
      <c r="N15" t="s">
        <v>20</v>
      </c>
      <c r="P15">
        <v>3101325</v>
      </c>
      <c r="Q15">
        <v>7101325</v>
      </c>
      <c r="R15">
        <v>2424387224.3367658</v>
      </c>
    </row>
    <row r="19" spans="9:24" x14ac:dyDescent="0.45">
      <c r="I19" s="2" t="s">
        <v>40</v>
      </c>
      <c r="J19" s="2"/>
      <c r="K19" s="2"/>
      <c r="L19" s="2"/>
      <c r="M19" s="2"/>
      <c r="N19" s="2"/>
      <c r="O19" s="2"/>
    </row>
    <row r="20" spans="9:24" x14ac:dyDescent="0.45">
      <c r="J20" t="s">
        <v>25</v>
      </c>
      <c r="K20" t="s">
        <v>26</v>
      </c>
      <c r="L20" t="s">
        <v>27</v>
      </c>
      <c r="M20" t="s">
        <v>28</v>
      </c>
      <c r="N20" t="s">
        <v>29</v>
      </c>
      <c r="O20" t="s">
        <v>30</v>
      </c>
    </row>
    <row r="21" spans="9:24" x14ac:dyDescent="0.45">
      <c r="I21" t="s">
        <v>13</v>
      </c>
      <c r="J21">
        <v>65057.174270000003</v>
      </c>
      <c r="K21">
        <v>3.141</v>
      </c>
      <c r="L21">
        <v>6.2831853080000002</v>
      </c>
      <c r="M21">
        <v>2</v>
      </c>
      <c r="N21">
        <v>5.0000000000000002E-5</v>
      </c>
      <c r="O21">
        <v>4</v>
      </c>
    </row>
    <row r="22" spans="9:24" x14ac:dyDescent="0.45">
      <c r="I22" t="s">
        <v>16</v>
      </c>
      <c r="J22">
        <v>32449.372050000002</v>
      </c>
      <c r="K22">
        <v>0.78539816299999998</v>
      </c>
      <c r="L22">
        <v>3.1415926540000001</v>
      </c>
      <c r="M22">
        <v>1</v>
      </c>
      <c r="N22">
        <v>5.0000000000000002E-5</v>
      </c>
      <c r="O22">
        <v>4</v>
      </c>
      <c r="R22" s="2" t="s">
        <v>43</v>
      </c>
      <c r="S22" s="2"/>
      <c r="T22" s="2"/>
      <c r="U22" s="2"/>
      <c r="V22" s="2"/>
      <c r="W22" s="2"/>
      <c r="X22" s="2"/>
    </row>
    <row r="23" spans="9:24" x14ac:dyDescent="0.45">
      <c r="I23" t="s">
        <v>17</v>
      </c>
      <c r="J23">
        <v>13071.085230000001</v>
      </c>
      <c r="K23">
        <v>0.78539816299999998</v>
      </c>
      <c r="L23">
        <v>3.1415926540000001</v>
      </c>
      <c r="M23">
        <v>1</v>
      </c>
      <c r="N23">
        <v>5.0000000000000002E-5</v>
      </c>
      <c r="O23">
        <v>4</v>
      </c>
      <c r="S23" s="1" t="s">
        <v>7</v>
      </c>
      <c r="T23" s="1" t="s">
        <v>8</v>
      </c>
      <c r="U23" s="1" t="s">
        <v>9</v>
      </c>
      <c r="V23" s="1" t="s">
        <v>10</v>
      </c>
      <c r="W23" s="1" t="s">
        <v>11</v>
      </c>
      <c r="X23" s="1" t="s">
        <v>12</v>
      </c>
    </row>
    <row r="24" spans="9:24" x14ac:dyDescent="0.45">
      <c r="I24" t="s">
        <v>35</v>
      </c>
      <c r="J24">
        <v>65057.174270000003</v>
      </c>
      <c r="K24">
        <v>0.78539816299999998</v>
      </c>
      <c r="L24">
        <v>3.1415926540000001</v>
      </c>
      <c r="M24">
        <v>1</v>
      </c>
      <c r="N24">
        <v>5.0000000000000002E-5</v>
      </c>
      <c r="O24">
        <v>4</v>
      </c>
      <c r="R24" t="s">
        <v>0</v>
      </c>
      <c r="S24" t="s">
        <v>0</v>
      </c>
      <c r="T24">
        <v>2101325</v>
      </c>
      <c r="U24">
        <v>8101325</v>
      </c>
      <c r="V24">
        <v>0</v>
      </c>
      <c r="W24">
        <v>48.963607098700002</v>
      </c>
      <c r="X24">
        <v>6.8375660756499999</v>
      </c>
    </row>
    <row r="25" spans="9:24" x14ac:dyDescent="0.45">
      <c r="I25" t="s">
        <v>36</v>
      </c>
      <c r="J25">
        <v>76893.550759999998</v>
      </c>
      <c r="K25">
        <v>3.141</v>
      </c>
      <c r="L25">
        <v>6.2831853080000002</v>
      </c>
      <c r="M25">
        <v>2</v>
      </c>
      <c r="N25">
        <v>5.0000000000000002E-5</v>
      </c>
      <c r="O25">
        <v>4</v>
      </c>
      <c r="R25" t="s">
        <v>1</v>
      </c>
      <c r="T25">
        <v>3101325</v>
      </c>
      <c r="U25">
        <v>8101325</v>
      </c>
      <c r="V25">
        <v>0</v>
      </c>
      <c r="W25">
        <v>48.885442716</v>
      </c>
      <c r="X25">
        <v>6.9707746782799997</v>
      </c>
    </row>
    <row r="26" spans="9:24" x14ac:dyDescent="0.45">
      <c r="R26" t="s">
        <v>37</v>
      </c>
      <c r="T26">
        <v>3101325</v>
      </c>
      <c r="U26">
        <v>8101325</v>
      </c>
      <c r="V26">
        <v>0</v>
      </c>
      <c r="W26">
        <v>48.4488696592</v>
      </c>
      <c r="X26">
        <v>7.1753586073599998</v>
      </c>
    </row>
    <row r="27" spans="9:24" x14ac:dyDescent="0.45">
      <c r="R27" t="s">
        <v>38</v>
      </c>
      <c r="T27">
        <v>3101325</v>
      </c>
      <c r="U27">
        <v>8101325</v>
      </c>
      <c r="V27">
        <v>0</v>
      </c>
      <c r="W27">
        <v>48.459701438000003</v>
      </c>
      <c r="X27">
        <v>6.73248116159</v>
      </c>
    </row>
    <row r="28" spans="9:24" x14ac:dyDescent="0.45">
      <c r="R28" t="s">
        <v>2</v>
      </c>
      <c r="T28">
        <v>4101325</v>
      </c>
      <c r="U28">
        <v>8101325</v>
      </c>
      <c r="V28">
        <v>0</v>
      </c>
      <c r="W28">
        <v>47.684915786300003</v>
      </c>
      <c r="X28">
        <v>7.3343218248599999</v>
      </c>
    </row>
    <row r="29" spans="9:24" x14ac:dyDescent="0.45">
      <c r="R29" t="s">
        <v>3</v>
      </c>
      <c r="T29">
        <v>4101325</v>
      </c>
      <c r="U29">
        <v>8101325</v>
      </c>
      <c r="V29">
        <v>0</v>
      </c>
      <c r="W29">
        <v>47.623252605300003</v>
      </c>
      <c r="X29">
        <v>7.53102691462</v>
      </c>
    </row>
    <row r="30" spans="9:24" x14ac:dyDescent="0.45">
      <c r="K30" s="2" t="s">
        <v>39</v>
      </c>
      <c r="L30" s="2"/>
      <c r="M30" s="2"/>
      <c r="N30" s="2"/>
      <c r="O30" s="2"/>
      <c r="R30" t="s">
        <v>4</v>
      </c>
      <c r="T30">
        <v>4101325</v>
      </c>
      <c r="U30">
        <v>8101325</v>
      </c>
      <c r="V30">
        <v>0</v>
      </c>
      <c r="W30">
        <v>47.488271935999997</v>
      </c>
      <c r="X30">
        <v>6.6466959069599998</v>
      </c>
    </row>
    <row r="31" spans="9:24" x14ac:dyDescent="0.45">
      <c r="L31" t="s">
        <v>31</v>
      </c>
      <c r="M31" t="s">
        <v>32</v>
      </c>
      <c r="N31" t="s">
        <v>33</v>
      </c>
      <c r="O31" t="s">
        <v>34</v>
      </c>
      <c r="R31" t="s">
        <v>5</v>
      </c>
      <c r="T31">
        <v>4101325</v>
      </c>
      <c r="U31">
        <v>8101325</v>
      </c>
      <c r="V31">
        <v>0</v>
      </c>
      <c r="W31">
        <v>47.388271936000002</v>
      </c>
      <c r="X31">
        <v>6.73248116159</v>
      </c>
    </row>
    <row r="32" spans="9:24" x14ac:dyDescent="0.45">
      <c r="K32" t="s">
        <v>13</v>
      </c>
      <c r="L32">
        <v>18.567399999999999</v>
      </c>
      <c r="M32">
        <v>273.14999999999998</v>
      </c>
      <c r="N32">
        <v>0.9</v>
      </c>
      <c r="O32">
        <v>0.86</v>
      </c>
      <c r="R32" t="s">
        <v>6</v>
      </c>
      <c r="T32">
        <v>5101325</v>
      </c>
      <c r="U32">
        <v>8101325</v>
      </c>
      <c r="V32">
        <v>0</v>
      </c>
      <c r="W32">
        <v>47.288271936000001</v>
      </c>
      <c r="X32">
        <v>6.73248116159</v>
      </c>
    </row>
    <row r="33" spans="11:15" x14ac:dyDescent="0.45">
      <c r="K33" t="s">
        <v>16</v>
      </c>
      <c r="L33">
        <v>18.567399999999999</v>
      </c>
      <c r="M33">
        <v>273.14999999999998</v>
      </c>
      <c r="N33">
        <v>0.9</v>
      </c>
      <c r="O33">
        <v>0.86</v>
      </c>
    </row>
    <row r="34" spans="11:15" x14ac:dyDescent="0.45">
      <c r="K34" t="s">
        <v>17</v>
      </c>
      <c r="L34">
        <v>18.567399999999999</v>
      </c>
      <c r="M34">
        <v>273.14999999999998</v>
      </c>
      <c r="N34">
        <v>0.9</v>
      </c>
      <c r="O34">
        <v>0.86</v>
      </c>
    </row>
    <row r="35" spans="11:15" x14ac:dyDescent="0.45">
      <c r="K35" t="s">
        <v>35</v>
      </c>
      <c r="L35">
        <v>18.567399999999999</v>
      </c>
      <c r="M35">
        <v>273.14999999999998</v>
      </c>
      <c r="N35">
        <v>0.9</v>
      </c>
      <c r="O35">
        <v>0.86</v>
      </c>
    </row>
    <row r="36" spans="11:15" x14ac:dyDescent="0.45">
      <c r="K36" t="s">
        <v>36</v>
      </c>
      <c r="L36">
        <v>18.567399999999999</v>
      </c>
      <c r="M36">
        <v>273.14999999999998</v>
      </c>
      <c r="N36">
        <v>0.9</v>
      </c>
      <c r="O36">
        <v>0.86</v>
      </c>
    </row>
  </sheetData>
  <mergeCells count="5">
    <mergeCell ref="K30:O30"/>
    <mergeCell ref="I19:O19"/>
    <mergeCell ref="R22:X22"/>
    <mergeCell ref="B4:D4"/>
    <mergeCell ref="N11:R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Pipes</vt:lpstr>
      <vt:lpstr>Stations</vt:lpstr>
      <vt:lpstr>Arcs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Naik Naik</dc:creator>
  <cp:lastModifiedBy>Yuming Sun</cp:lastModifiedBy>
  <dcterms:created xsi:type="dcterms:W3CDTF">2025-01-26T15:15:33Z</dcterms:created>
  <dcterms:modified xsi:type="dcterms:W3CDTF">2026-04-03T03:21:21Z</dcterms:modified>
</cp:coreProperties>
</file>